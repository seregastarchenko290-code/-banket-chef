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" sheetId="1" state="visible" r:id="rId1"/>
    <sheet xmlns:r="http://schemas.openxmlformats.org/officeDocument/2006/relationships" name="Состав" sheetId="2" state="visible" r:id="rId2"/>
    <sheet xmlns:r="http://schemas.openxmlformats.org/officeDocument/2006/relationships" name="Расчёт" sheetId="3" state="visible" r:id="rId3"/>
    <sheet xmlns:r="http://schemas.openxmlformats.org/officeDocument/2006/relationships" name="Инструкция боту" sheetId="4" state="visible" r:id="rId4"/>
  </sheets>
  <definedNames>
    <definedName name="_xlnm._FilterDatabase" localSheetId="0" hidden="1">'Позиции'!$A$1:$F$19</definedName>
    <definedName name="_xlnm._FilterDatabase" localSheetId="1" hidden="1">'Состав'!$A$1:$E$78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8" customWidth="1" min="3" max="3"/>
    <col width="12" customWidth="1" min="4" max="4"/>
    <col width="18" customWidth="1" min="5" max="5"/>
    <col width="75" customWidth="1" min="6" max="6"/>
  </cols>
  <sheetData>
    <row r="1">
      <c r="A1" s="1" t="inlineStr">
        <is>
          <t>ID</t>
        </is>
      </c>
      <c r="B1" s="1" t="inlineStr">
        <is>
          <t>Категория</t>
        </is>
      </c>
      <c r="C1" s="1" t="inlineStr">
        <is>
          <t>Позиция</t>
        </is>
      </c>
      <c r="D1" s="1" t="inlineStr">
        <is>
          <t>Выход, кг</t>
        </is>
      </c>
      <c r="E1" s="1" t="inlineStr">
        <is>
          <t>Стоимость из PDF</t>
        </is>
      </c>
      <c r="F1" s="1" t="inlineStr">
        <is>
          <t>Статус/примечание</t>
        </is>
      </c>
    </row>
    <row r="2">
      <c r="A2" t="inlineStr">
        <is>
          <t>B01</t>
        </is>
      </c>
      <c r="B2" t="inlineStr">
        <is>
          <t>Холодные закуски</t>
        </is>
      </c>
      <c r="C2" t="inlineStr">
        <is>
          <t>Мясные деликатесы</t>
        </is>
      </c>
      <c r="D2" t="n">
        <v>0.04</v>
      </c>
      <c r="E2" t="n">
        <v>172</v>
      </c>
      <c r="F2" t="inlineStr">
        <is>
          <t>Полная порция в ТТК указана как 1/4; выход 0,040 кг</t>
        </is>
      </c>
    </row>
    <row r="3">
      <c r="A3" t="inlineStr">
        <is>
          <t>B02</t>
        </is>
      </c>
      <c r="B3" t="inlineStr">
        <is>
          <t>Холодные закуски</t>
        </is>
      </c>
      <c r="C3" t="inlineStr">
        <is>
          <t>Фермерские сыры</t>
        </is>
      </c>
      <c r="D3" t="n">
        <v>0.03</v>
      </c>
      <c r="E3" t="n">
        <v>102</v>
      </c>
      <c r="F3" t="inlineStr">
        <is>
          <t>1/4 порция; в ТТК указано 30 г</t>
        </is>
      </c>
    </row>
    <row r="4">
      <c r="A4" t="inlineStr">
        <is>
          <t>B03</t>
        </is>
      </c>
      <c r="B4" t="inlineStr">
        <is>
          <t>Холодные закуски</t>
        </is>
      </c>
      <c r="C4" t="inlineStr">
        <is>
          <t>Рыбное плато</t>
        </is>
      </c>
      <c r="D4" t="n">
        <v>0.04</v>
      </c>
      <c r="E4" t="n">
        <v>131</v>
      </c>
      <c r="F4" t="inlineStr">
        <is>
          <t>Состав в фрагменте ТТК обозначен как рыбная нарезка; выход 0,040 кг</t>
        </is>
      </c>
    </row>
    <row r="5">
      <c r="A5" t="inlineStr">
        <is>
          <t>B04</t>
        </is>
      </c>
      <c r="B5" t="inlineStr">
        <is>
          <t>Холодные закуски</t>
        </is>
      </c>
      <c r="C5" t="inlineStr">
        <is>
          <t>Домашние соленья</t>
        </is>
      </c>
      <c r="E5" t="n">
        <v>117</v>
      </c>
      <c r="F5" t="inlineStr">
        <is>
          <t>В сводном банкетном блоке есть позиция и стоимость, полноценная раскладка в доступном фрагменте не подтверждена</t>
        </is>
      </c>
    </row>
    <row r="6">
      <c r="A6" t="inlineStr">
        <is>
          <t>B05</t>
        </is>
      </c>
      <c r="B6" t="inlineStr">
        <is>
          <t>Холодные закуски</t>
        </is>
      </c>
      <c r="C6" t="inlineStr">
        <is>
          <t>Ассорти из свежих овощей</t>
        </is>
      </c>
      <c r="D6" t="n">
        <v>0.1</v>
      </c>
      <c r="E6" t="n">
        <v>77</v>
      </c>
      <c r="F6" t="inlineStr">
        <is>
          <t>Выход 0,100 кг</t>
        </is>
      </c>
    </row>
    <row r="7">
      <c r="A7" t="inlineStr">
        <is>
          <t>B06</t>
        </is>
      </c>
      <c r="B7" t="inlineStr">
        <is>
          <t>Холодные закуски</t>
        </is>
      </c>
      <c r="C7" t="inlineStr">
        <is>
          <t>Мини-брускетта с риетом из лосося</t>
        </is>
      </c>
      <c r="D7" t="n">
        <v>0.05</v>
      </c>
      <c r="E7" t="n">
        <v>80</v>
      </c>
      <c r="F7" t="inlineStr">
        <is>
          <t>Выход 0,050 кг</t>
        </is>
      </c>
    </row>
    <row r="8">
      <c r="A8" t="inlineStr">
        <is>
          <t>B07</t>
        </is>
      </c>
      <c r="B8" t="inlineStr">
        <is>
          <t>Холодные закуски</t>
        </is>
      </c>
      <c r="C8" t="inlineStr">
        <is>
          <t>Мини-брускетта с паштетом и карамелизированным луком</t>
        </is>
      </c>
      <c r="D8" t="n">
        <v>0.05</v>
      </c>
      <c r="E8" t="n">
        <v>58</v>
      </c>
      <c r="F8" t="inlineStr">
        <is>
          <t>Выход 0,050 кг; часть строки в PDF распознана неоднозначно</t>
        </is>
      </c>
    </row>
    <row r="9">
      <c r="A9" t="inlineStr">
        <is>
          <t>B08</t>
        </is>
      </c>
      <c r="B9" t="inlineStr">
        <is>
          <t>Горячие закуски</t>
        </is>
      </c>
      <c r="C9" t="inlineStr">
        <is>
          <t>Киш с лососем</t>
        </is>
      </c>
      <c r="D9" t="n">
        <v>0.12</v>
      </c>
      <c r="E9" t="n">
        <v>47</v>
      </c>
      <c r="F9" t="inlineStr">
        <is>
          <t>Выход в ТТК: 0,120 кг</t>
        </is>
      </c>
    </row>
    <row r="10">
      <c r="A10" t="inlineStr">
        <is>
          <t>B09</t>
        </is>
      </c>
      <c r="B10" t="inlineStr">
        <is>
          <t>Горячие закуски</t>
        </is>
      </c>
      <c r="C10" t="inlineStr">
        <is>
          <t>Киш с курицей и грибами</t>
        </is>
      </c>
      <c r="D10" t="n">
        <v>0.15</v>
      </c>
      <c r="E10" t="n">
        <v>33</v>
      </c>
      <c r="F10" t="inlineStr">
        <is>
          <t>В отдельной раскладке указан выход 0,150 кг</t>
        </is>
      </c>
    </row>
    <row r="11">
      <c r="A11" t="inlineStr">
        <is>
          <t>B10</t>
        </is>
      </c>
      <c r="B11" t="inlineStr">
        <is>
          <t>Салаты</t>
        </is>
      </c>
      <c r="C11" t="inlineStr">
        <is>
          <t>Цезарь с ферментированным желтком</t>
        </is>
      </c>
      <c r="D11" t="n">
        <v>0.145</v>
      </c>
      <c r="E11" t="n">
        <v>146</v>
      </c>
      <c r="F11" t="inlineStr">
        <is>
          <t>Выход 0,145 кг</t>
        </is>
      </c>
    </row>
    <row r="12">
      <c r="A12" t="inlineStr">
        <is>
          <t>B11</t>
        </is>
      </c>
      <c r="B12" t="inlineStr">
        <is>
          <t>Салаты</t>
        </is>
      </c>
      <c r="C12" t="inlineStr">
        <is>
          <t>Салат с языком и грибами</t>
        </is>
      </c>
      <c r="D12" t="n">
        <v>0.17</v>
      </c>
      <c r="E12" t="n">
        <v>258</v>
      </c>
      <c r="F12" t="inlineStr">
        <is>
          <t>Выход 0,170 кг</t>
        </is>
      </c>
    </row>
    <row r="13">
      <c r="A13" t="inlineStr">
        <is>
          <t>B12</t>
        </is>
      </c>
      <c r="B13" t="inlineStr">
        <is>
          <t>Салаты</t>
        </is>
      </c>
      <c r="C13" t="inlineStr">
        <is>
          <t>Салат с рукколой, креветкой и авокадо</t>
        </is>
      </c>
      <c r="D13" t="n">
        <v>0.15</v>
      </c>
      <c r="E13" t="n">
        <v>249</v>
      </c>
      <c r="F13" t="inlineStr">
        <is>
          <t>Выход 0,150 кг</t>
        </is>
      </c>
    </row>
    <row r="14">
      <c r="A14" t="inlineStr">
        <is>
          <t>B13</t>
        </is>
      </c>
      <c r="B14" t="inlineStr">
        <is>
          <t>Горячее</t>
        </is>
      </c>
      <c r="C14" t="inlineStr">
        <is>
          <t>Спинка трески в сливочном соусе Шампань</t>
        </is>
      </c>
      <c r="D14" t="n">
        <v>0.17</v>
      </c>
      <c r="E14" t="n">
        <v>143</v>
      </c>
      <c r="F14" t="inlineStr">
        <is>
          <t>Выход 0,170 кг</t>
        </is>
      </c>
    </row>
    <row r="15">
      <c r="A15" t="inlineStr">
        <is>
          <t>B14</t>
        </is>
      </c>
      <c r="B15" t="inlineStr">
        <is>
          <t>Горячее</t>
        </is>
      </c>
      <c r="C15" t="inlineStr">
        <is>
          <t>Стриплойн</t>
        </is>
      </c>
      <c r="D15" t="n">
        <v>0.18</v>
      </c>
      <c r="E15" t="n">
        <v>494</v>
      </c>
      <c r="F15" t="inlineStr">
        <is>
          <t>Выход 0,180 кг</t>
        </is>
      </c>
    </row>
    <row r="16">
      <c r="A16" t="inlineStr">
        <is>
          <t>B15</t>
        </is>
      </c>
      <c r="B16" t="inlineStr">
        <is>
          <t>Горячее</t>
        </is>
      </c>
      <c r="C16" t="inlineStr">
        <is>
          <t>Утиная ножка конфи</t>
        </is>
      </c>
      <c r="D16" t="n">
        <v>0.23</v>
      </c>
      <c r="E16" t="n">
        <v>258</v>
      </c>
      <c r="F16" t="inlineStr">
        <is>
          <t>Выход 0,230 кг</t>
        </is>
      </c>
    </row>
    <row r="17">
      <c r="A17" t="inlineStr">
        <is>
          <t>B16</t>
        </is>
      </c>
      <c r="B17" t="inlineStr">
        <is>
          <t>Горячее</t>
        </is>
      </c>
      <c r="C17" t="inlineStr">
        <is>
          <t>Корнишон на гриле</t>
        </is>
      </c>
      <c r="D17" t="n">
        <v>0.34</v>
      </c>
      <c r="E17" t="n">
        <v>210</v>
      </c>
      <c r="F17" t="inlineStr">
        <is>
          <t>Выход 0,340 кг; в ТТК также указан вес 1 шт 0,250 кг</t>
        </is>
      </c>
    </row>
    <row r="18">
      <c r="A18" t="inlineStr">
        <is>
          <t>B17</t>
        </is>
      </c>
      <c r="B18" t="inlineStr">
        <is>
          <t>Гарниры</t>
        </is>
      </c>
      <c r="C18" t="inlineStr">
        <is>
          <t>Молодой картофель со сливочным маслом и петрушкой</t>
        </is>
      </c>
      <c r="D18" t="n">
        <v>0.18</v>
      </c>
      <c r="E18" t="n">
        <v>37.85</v>
      </c>
      <c r="F18" t="inlineStr">
        <is>
          <t>Выход 0,180 кг</t>
        </is>
      </c>
    </row>
    <row r="19">
      <c r="A19" t="inlineStr">
        <is>
          <t>B18</t>
        </is>
      </c>
      <c r="B19" t="inlineStr">
        <is>
          <t>Гарниры</t>
        </is>
      </c>
      <c r="C19" t="inlineStr">
        <is>
          <t>Овощи гриль</t>
        </is>
      </c>
      <c r="D19" t="n">
        <v>0.1</v>
      </c>
      <c r="E19" t="n">
        <v>58</v>
      </c>
      <c r="F19" t="inlineStr">
        <is>
          <t>Выход 0,100 кг</t>
        </is>
      </c>
    </row>
  </sheetData>
  <autoFilter ref="A1:F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24" customWidth="1" min="3" max="3"/>
    <col width="8" customWidth="1" min="4" max="4"/>
    <col width="65" customWidth="1" min="5" max="5"/>
  </cols>
  <sheetData>
    <row r="1">
      <c r="A1" s="2" t="inlineStr">
        <is>
          <t>ID позиции</t>
        </is>
      </c>
      <c r="B1" s="2" t="inlineStr">
        <is>
          <t>Ингредиент</t>
        </is>
      </c>
      <c r="C1" s="2" t="inlineStr">
        <is>
          <t>Норма на 1 порцию, кг</t>
        </is>
      </c>
      <c r="D1" s="2" t="inlineStr">
        <is>
          <t>Ед.</t>
        </is>
      </c>
      <c r="E1" s="2" t="inlineStr">
        <is>
          <t>Примечание</t>
        </is>
      </c>
    </row>
    <row r="2">
      <c r="A2" t="inlineStr">
        <is>
          <t>B01</t>
        </is>
      </c>
      <c r="B2" t="inlineStr">
        <is>
          <t>Копа</t>
        </is>
      </c>
      <c r="D2" t="inlineStr">
        <is>
          <t>кг</t>
        </is>
      </c>
      <c r="E2" t="inlineStr">
        <is>
          <t>Название компонента есть; точная масса компонента в доступном фрагменте не подтверждена</t>
        </is>
      </c>
    </row>
    <row r="3">
      <c r="A3" t="inlineStr">
        <is>
          <t>B01</t>
        </is>
      </c>
      <c r="B3" t="inlineStr">
        <is>
          <t>Сесино</t>
        </is>
      </c>
      <c r="D3" t="inlineStr">
        <is>
          <t>кг</t>
        </is>
      </c>
      <c r="E3" t="inlineStr"/>
    </row>
    <row r="4">
      <c r="A4" t="inlineStr">
        <is>
          <t>B01</t>
        </is>
      </c>
      <c r="B4" t="inlineStr">
        <is>
          <t>Оленина с/к</t>
        </is>
      </c>
      <c r="D4" t="inlineStr">
        <is>
          <t>кг</t>
        </is>
      </c>
      <c r="E4" t="inlineStr"/>
    </row>
    <row r="5">
      <c r="A5" t="inlineStr">
        <is>
          <t>B01</t>
        </is>
      </c>
      <c r="B5" t="inlineStr">
        <is>
          <t>Утка с/к</t>
        </is>
      </c>
      <c r="D5" t="inlineStr">
        <is>
          <t>кг</t>
        </is>
      </c>
      <c r="E5" t="inlineStr"/>
    </row>
    <row r="6">
      <c r="A6" t="inlineStr">
        <is>
          <t>B02</t>
        </is>
      </c>
      <c r="B6" t="inlineStr">
        <is>
          <t>Ассорти сыров / наши сыры</t>
        </is>
      </c>
      <c r="C6" t="n">
        <v>0.03</v>
      </c>
      <c r="D6" t="inlineStr">
        <is>
          <t>кг</t>
        </is>
      </c>
      <c r="E6" t="inlineStr">
        <is>
          <t>В ТТК: 30 г</t>
        </is>
      </c>
    </row>
    <row r="7">
      <c r="A7" t="inlineStr">
        <is>
          <t>B03</t>
        </is>
      </c>
      <c r="B7" t="inlineStr">
        <is>
          <t>Форель слабосолёная</t>
        </is>
      </c>
      <c r="C7" t="n">
        <v>0.02</v>
      </c>
      <c r="D7" t="inlineStr">
        <is>
          <t>кг</t>
        </is>
      </c>
      <c r="E7" t="inlineStr"/>
    </row>
    <row r="8">
      <c r="A8" t="inlineStr">
        <is>
          <t>B03</t>
        </is>
      </c>
      <c r="B8" t="inlineStr">
        <is>
          <t>Сиг копчёный</t>
        </is>
      </c>
      <c r="C8" t="n">
        <v>0.02</v>
      </c>
      <c r="D8" t="inlineStr">
        <is>
          <t>кг</t>
        </is>
      </c>
      <c r="E8" t="inlineStr"/>
    </row>
    <row r="9">
      <c r="A9" t="inlineStr">
        <is>
          <t>B05</t>
        </is>
      </c>
      <c r="B9" t="inlineStr">
        <is>
          <t>Томат узбекский</t>
        </is>
      </c>
      <c r="C9" t="n">
        <v>0.03</v>
      </c>
      <c r="D9" t="inlineStr">
        <is>
          <t>кг</t>
        </is>
      </c>
      <c r="E9" t="inlineStr"/>
    </row>
    <row r="10">
      <c r="A10" t="inlineStr">
        <is>
          <t>B05</t>
        </is>
      </c>
      <c r="B10" t="inlineStr">
        <is>
          <t>Черри</t>
        </is>
      </c>
      <c r="C10" t="n">
        <v>0.02</v>
      </c>
      <c r="D10" t="inlineStr">
        <is>
          <t>кг</t>
        </is>
      </c>
      <c r="E10" t="inlineStr"/>
    </row>
    <row r="11">
      <c r="A11" t="inlineStr">
        <is>
          <t>B05</t>
        </is>
      </c>
      <c r="B11" t="inlineStr">
        <is>
          <t>Лук красный п/ф</t>
        </is>
      </c>
      <c r="C11" t="n">
        <v>0.01</v>
      </c>
      <c r="D11" t="inlineStr">
        <is>
          <t>кг</t>
        </is>
      </c>
      <c r="E11" t="inlineStr"/>
    </row>
    <row r="12">
      <c r="A12" t="inlineStr">
        <is>
          <t>B05</t>
        </is>
      </c>
      <c r="B12" t="inlineStr">
        <is>
          <t>Огурцы бакинские</t>
        </is>
      </c>
      <c r="C12" t="n">
        <v>0.02</v>
      </c>
      <c r="D12" t="inlineStr">
        <is>
          <t>кг</t>
        </is>
      </c>
      <c r="E12" t="inlineStr"/>
    </row>
    <row r="13">
      <c r="A13" t="inlineStr">
        <is>
          <t>B05</t>
        </is>
      </c>
      <c r="B13" t="inlineStr">
        <is>
          <t>Перец рамиро</t>
        </is>
      </c>
      <c r="C13" t="n">
        <v>0.01</v>
      </c>
      <c r="D13" t="inlineStr">
        <is>
          <t>кг</t>
        </is>
      </c>
      <c r="E13" t="inlineStr"/>
    </row>
    <row r="14">
      <c r="A14" t="inlineStr">
        <is>
          <t>B05</t>
        </is>
      </c>
      <c r="B14" t="inlineStr">
        <is>
          <t>Перец болгарский</t>
        </is>
      </c>
      <c r="C14" t="n">
        <v>0.01</v>
      </c>
      <c r="D14" t="inlineStr">
        <is>
          <t>кг</t>
        </is>
      </c>
      <c r="E14" t="inlineStr"/>
    </row>
    <row r="15">
      <c r="A15" t="inlineStr">
        <is>
          <t>B06</t>
        </is>
      </c>
      <c r="B15" t="inlineStr">
        <is>
          <t>Багет</t>
        </is>
      </c>
      <c r="C15" t="n">
        <v>0.015</v>
      </c>
      <c r="D15" t="inlineStr">
        <is>
          <t>кг</t>
        </is>
      </c>
      <c r="E15" t="inlineStr"/>
    </row>
    <row r="16">
      <c r="A16" t="inlineStr">
        <is>
          <t>B06</t>
        </is>
      </c>
      <c r="B16" t="inlineStr">
        <is>
          <t>Риет из лосося п/ф</t>
        </is>
      </c>
      <c r="C16" t="n">
        <v>0.03</v>
      </c>
      <c r="D16" t="inlineStr">
        <is>
          <t>кг</t>
        </is>
      </c>
      <c r="E16" t="inlineStr"/>
    </row>
    <row r="17">
      <c r="A17" t="inlineStr">
        <is>
          <t>B06</t>
        </is>
      </c>
      <c r="B17" t="inlineStr">
        <is>
          <t>Лук зелёный п/ф</t>
        </is>
      </c>
      <c r="C17" t="n">
        <v>0.003</v>
      </c>
      <c r="D17" t="inlineStr">
        <is>
          <t>кг</t>
        </is>
      </c>
      <c r="E17" t="inlineStr"/>
    </row>
    <row r="18">
      <c r="A18" t="inlineStr">
        <is>
          <t>B06</t>
        </is>
      </c>
      <c r="B18" t="inlineStr">
        <is>
          <t>Микрозелень</t>
        </is>
      </c>
      <c r="C18" t="n">
        <v>0.002</v>
      </c>
      <c r="D18" t="inlineStr">
        <is>
          <t>кг</t>
        </is>
      </c>
      <c r="E18" t="inlineStr"/>
    </row>
    <row r="19">
      <c r="A19" t="inlineStr">
        <is>
          <t>B07</t>
        </is>
      </c>
      <c r="B19" t="inlineStr">
        <is>
          <t>Багет</t>
        </is>
      </c>
      <c r="C19" t="n">
        <v>0.015</v>
      </c>
      <c r="D19" t="inlineStr">
        <is>
          <t>кг</t>
        </is>
      </c>
      <c r="E19" t="inlineStr"/>
    </row>
    <row r="20">
      <c r="A20" t="inlineStr">
        <is>
          <t>B07</t>
        </is>
      </c>
      <c r="B20" t="inlineStr">
        <is>
          <t>Куриный паштет п/ф</t>
        </is>
      </c>
      <c r="C20" t="n">
        <v>0.02</v>
      </c>
      <c r="D20" t="inlineStr">
        <is>
          <t>кг</t>
        </is>
      </c>
      <c r="E20" t="inlineStr"/>
    </row>
    <row r="21">
      <c r="A21" t="inlineStr">
        <is>
          <t>B07</t>
        </is>
      </c>
      <c r="B21" t="inlineStr">
        <is>
          <t>Лук карамель п/ф</t>
        </is>
      </c>
      <c r="C21" t="n">
        <v>0.015</v>
      </c>
      <c r="D21" t="inlineStr">
        <is>
          <t>кг</t>
        </is>
      </c>
      <c r="E21" t="inlineStr"/>
    </row>
    <row r="22">
      <c r="A22" t="inlineStr">
        <is>
          <t>B07</t>
        </is>
      </c>
      <c r="B22" t="inlineStr">
        <is>
          <t>Тесто катаифи жареное п/ф</t>
        </is>
      </c>
      <c r="C22" t="n">
        <v>0.001</v>
      </c>
      <c r="D22" t="inlineStr">
        <is>
          <t>кг</t>
        </is>
      </c>
      <c r="E22" t="inlineStr"/>
    </row>
    <row r="23">
      <c r="A23" t="inlineStr">
        <is>
          <t>B08</t>
        </is>
      </c>
      <c r="B23" t="inlineStr">
        <is>
          <t>Лосось п/ф</t>
        </is>
      </c>
      <c r="C23" t="n">
        <v>0.08</v>
      </c>
      <c r="D23" t="inlineStr">
        <is>
          <t>кг</t>
        </is>
      </c>
      <c r="E23" t="inlineStr"/>
    </row>
    <row r="24">
      <c r="A24" t="inlineStr">
        <is>
          <t>B08</t>
        </is>
      </c>
      <c r="B24" t="inlineStr">
        <is>
          <t>Лук репчатый</t>
        </is>
      </c>
      <c r="C24" t="n">
        <v>0.03</v>
      </c>
      <c r="D24" t="inlineStr">
        <is>
          <t>кг</t>
        </is>
      </c>
      <c r="E24" t="inlineStr"/>
    </row>
    <row r="25">
      <c r="A25" t="inlineStr">
        <is>
          <t>B08</t>
        </is>
      </c>
      <c r="B25" t="inlineStr">
        <is>
          <t>Пармезан</t>
        </is>
      </c>
      <c r="C25" t="n">
        <v>0.02</v>
      </c>
      <c r="D25" t="inlineStr">
        <is>
          <t>кг</t>
        </is>
      </c>
      <c r="E25" t="inlineStr"/>
    </row>
    <row r="26">
      <c r="A26" t="inlineStr">
        <is>
          <t>B08</t>
        </is>
      </c>
      <c r="B26" t="inlineStr">
        <is>
          <t>Сливки 33%</t>
        </is>
      </c>
      <c r="C26" t="n">
        <v>0.05</v>
      </c>
      <c r="D26" t="inlineStr">
        <is>
          <t>кг</t>
        </is>
      </c>
      <c r="E26" t="inlineStr"/>
    </row>
    <row r="27">
      <c r="A27" t="inlineStr">
        <is>
          <t>B08</t>
        </is>
      </c>
      <c r="B27" t="inlineStr">
        <is>
          <t>Лук зелёный</t>
        </is>
      </c>
      <c r="C27" t="n">
        <v>0.005</v>
      </c>
      <c r="D27" t="inlineStr">
        <is>
          <t>кг</t>
        </is>
      </c>
      <c r="E27" t="inlineStr"/>
    </row>
    <row r="28">
      <c r="A28" t="inlineStr">
        <is>
          <t>B08</t>
        </is>
      </c>
      <c r="B28" t="inlineStr">
        <is>
          <t>Соль</t>
        </is>
      </c>
      <c r="C28" t="n">
        <v>0.002</v>
      </c>
      <c r="D28" t="inlineStr">
        <is>
          <t>кг</t>
        </is>
      </c>
      <c r="E28" t="inlineStr"/>
    </row>
    <row r="29">
      <c r="A29" t="inlineStr">
        <is>
          <t>B08</t>
        </is>
      </c>
      <c r="B29" t="inlineStr">
        <is>
          <t>Сахар</t>
        </is>
      </c>
      <c r="C29" t="n">
        <v>0.002</v>
      </c>
      <c r="D29" t="inlineStr">
        <is>
          <t>кг</t>
        </is>
      </c>
      <c r="E29" t="inlineStr"/>
    </row>
    <row r="30">
      <c r="A30" t="inlineStr">
        <is>
          <t>B08</t>
        </is>
      </c>
      <c r="B30" t="inlineStr">
        <is>
          <t>Масло оливковое</t>
        </is>
      </c>
      <c r="C30" t="n">
        <v>0.01</v>
      </c>
      <c r="D30" t="inlineStr">
        <is>
          <t>кг</t>
        </is>
      </c>
      <c r="E30" t="inlineStr"/>
    </row>
    <row r="31">
      <c r="A31" t="inlineStr">
        <is>
          <t>B09</t>
        </is>
      </c>
      <c r="B31" t="inlineStr">
        <is>
          <t>Куриное филе п/ф</t>
        </is>
      </c>
      <c r="C31" t="n">
        <v>0.08</v>
      </c>
      <c r="D31" t="inlineStr">
        <is>
          <t>кг</t>
        </is>
      </c>
      <c r="E31" t="inlineStr"/>
    </row>
    <row r="32">
      <c r="A32" t="inlineStr">
        <is>
          <t>B09</t>
        </is>
      </c>
      <c r="B32" t="inlineStr">
        <is>
          <t>Лук репчатый п/ф</t>
        </is>
      </c>
      <c r="C32" t="n">
        <v>0.02</v>
      </c>
      <c r="D32" t="inlineStr">
        <is>
          <t>кг</t>
        </is>
      </c>
      <c r="E32" t="inlineStr"/>
    </row>
    <row r="33">
      <c r="A33" t="inlineStr">
        <is>
          <t>B09</t>
        </is>
      </c>
      <c r="B33" t="inlineStr">
        <is>
          <t>Шампиньоны</t>
        </is>
      </c>
      <c r="C33" t="n">
        <v>0.05</v>
      </c>
      <c r="D33" t="inlineStr">
        <is>
          <t>кг</t>
        </is>
      </c>
      <c r="E33" t="inlineStr"/>
    </row>
    <row r="34">
      <c r="A34" t="inlineStr">
        <is>
          <t>B09</t>
        </is>
      </c>
      <c r="B34" t="inlineStr">
        <is>
          <t>Сливки 33%</t>
        </is>
      </c>
      <c r="C34" t="n">
        <v>0.05</v>
      </c>
      <c r="D34" t="inlineStr">
        <is>
          <t>кг</t>
        </is>
      </c>
      <c r="E34" t="inlineStr"/>
    </row>
    <row r="35">
      <c r="A35" t="inlineStr">
        <is>
          <t>B09</t>
        </is>
      </c>
      <c r="B35" t="inlineStr">
        <is>
          <t>Пармезан</t>
        </is>
      </c>
      <c r="C35" t="n">
        <v>0.02</v>
      </c>
      <c r="D35" t="inlineStr">
        <is>
          <t>кг</t>
        </is>
      </c>
      <c r="E35" t="inlineStr"/>
    </row>
    <row r="36">
      <c r="A36" t="inlineStr">
        <is>
          <t>B09</t>
        </is>
      </c>
      <c r="B36" t="inlineStr">
        <is>
          <t>Соль</t>
        </is>
      </c>
      <c r="C36" t="n">
        <v>0.002</v>
      </c>
      <c r="D36" t="inlineStr">
        <is>
          <t>кг</t>
        </is>
      </c>
      <c r="E36" t="inlineStr"/>
    </row>
    <row r="37">
      <c r="A37" t="inlineStr">
        <is>
          <t>B09</t>
        </is>
      </c>
      <c r="B37" t="inlineStr">
        <is>
          <t>Сахар</t>
        </is>
      </c>
      <c r="C37" t="n">
        <v>0.002</v>
      </c>
      <c r="D37" t="inlineStr">
        <is>
          <t>кг</t>
        </is>
      </c>
      <c r="E37" t="inlineStr"/>
    </row>
    <row r="38">
      <c r="A38" t="inlineStr">
        <is>
          <t>B09</t>
        </is>
      </c>
      <c r="B38" t="inlineStr">
        <is>
          <t>Масло подсолнечное</t>
        </is>
      </c>
      <c r="C38" t="n">
        <v>0.01</v>
      </c>
      <c r="D38" t="inlineStr">
        <is>
          <t>кг</t>
        </is>
      </c>
      <c r="E38" t="inlineStr"/>
    </row>
    <row r="39">
      <c r="A39" t="inlineStr">
        <is>
          <t>B10</t>
        </is>
      </c>
      <c r="B39" t="inlineStr">
        <is>
          <t>Ромейн п/ф</t>
        </is>
      </c>
      <c r="C39" t="n">
        <v>0.03</v>
      </c>
      <c r="D39" t="inlineStr">
        <is>
          <t>кг</t>
        </is>
      </c>
      <c r="E39" t="inlineStr"/>
    </row>
    <row r="40">
      <c r="A40" t="inlineStr">
        <is>
          <t>B10</t>
        </is>
      </c>
      <c r="B40" t="inlineStr">
        <is>
          <t>Соус цезарь п/ф</t>
        </is>
      </c>
      <c r="C40" t="n">
        <v>0.02</v>
      </c>
      <c r="D40" t="inlineStr">
        <is>
          <t>кг</t>
        </is>
      </c>
      <c r="E40" t="inlineStr"/>
    </row>
    <row r="41">
      <c r="A41" t="inlineStr">
        <is>
          <t>B10</t>
        </is>
      </c>
      <c r="B41" t="inlineStr">
        <is>
          <t>Куриная грудка су-вид п/ф</t>
        </is>
      </c>
      <c r="C41" t="n">
        <v>0.04</v>
      </c>
      <c r="D41" t="inlineStr">
        <is>
          <t>кг</t>
        </is>
      </c>
      <c r="E41" t="inlineStr"/>
    </row>
    <row r="42">
      <c r="A42" t="inlineStr">
        <is>
          <t>B10</t>
        </is>
      </c>
      <c r="B42" t="inlineStr">
        <is>
          <t>Черри</t>
        </is>
      </c>
      <c r="C42" t="n">
        <v>0.015</v>
      </c>
      <c r="D42" t="inlineStr">
        <is>
          <t>кг</t>
        </is>
      </c>
      <c r="E42" t="inlineStr"/>
    </row>
    <row r="43">
      <c r="A43" t="inlineStr">
        <is>
          <t>B10</t>
        </is>
      </c>
      <c r="B43" t="inlineStr">
        <is>
          <t>Пармезан</t>
        </is>
      </c>
      <c r="C43" t="n">
        <v>0.005</v>
      </c>
      <c r="D43" t="inlineStr">
        <is>
          <t>кг</t>
        </is>
      </c>
      <c r="E43" t="inlineStr"/>
    </row>
    <row r="44">
      <c r="A44" t="inlineStr">
        <is>
          <t>B10</t>
        </is>
      </c>
      <c r="B44" t="inlineStr">
        <is>
          <t>Сухари бородинские п/ф</t>
        </is>
      </c>
      <c r="C44" t="n">
        <v>0.01</v>
      </c>
      <c r="D44" t="inlineStr">
        <is>
          <t>кг</t>
        </is>
      </c>
      <c r="E44" t="inlineStr"/>
    </row>
    <row r="45">
      <c r="A45" t="inlineStr">
        <is>
          <t>B10</t>
        </is>
      </c>
      <c r="B45" t="inlineStr">
        <is>
          <t>Яйцо солёное</t>
        </is>
      </c>
      <c r="C45" t="n">
        <v>0.002</v>
      </c>
      <c r="D45" t="inlineStr">
        <is>
          <t>кг</t>
        </is>
      </c>
      <c r="E45" t="inlineStr"/>
    </row>
    <row r="46">
      <c r="A46" t="inlineStr">
        <is>
          <t>B11</t>
        </is>
      </c>
      <c r="B46" t="inlineStr">
        <is>
          <t>Язык отварной п/ф</t>
        </is>
      </c>
      <c r="C46" t="n">
        <v>0.03</v>
      </c>
      <c r="D46" t="inlineStr">
        <is>
          <t>кг</t>
        </is>
      </c>
      <c r="E46" t="inlineStr"/>
    </row>
    <row r="47">
      <c r="A47" t="inlineStr">
        <is>
          <t>B11</t>
        </is>
      </c>
      <c r="B47" t="inlineStr">
        <is>
          <t>Шампиньоны жареные п/ф</t>
        </is>
      </c>
      <c r="C47" t="n">
        <v>0.03</v>
      </c>
      <c r="D47" t="inlineStr">
        <is>
          <t>кг</t>
        </is>
      </c>
      <c r="E47" t="inlineStr"/>
    </row>
    <row r="48">
      <c r="A48" t="inlineStr">
        <is>
          <t>B11</t>
        </is>
      </c>
      <c r="B48" t="inlineStr">
        <is>
          <t>Пармезан</t>
        </is>
      </c>
      <c r="C48" t="n">
        <v>0.02</v>
      </c>
      <c r="D48" t="inlineStr">
        <is>
          <t>кг</t>
        </is>
      </c>
      <c r="E48" t="inlineStr"/>
    </row>
    <row r="49">
      <c r="A49" t="inlineStr">
        <is>
          <t>B11</t>
        </is>
      </c>
      <c r="B49" t="inlineStr">
        <is>
          <t>Ромейн п/ф</t>
        </is>
      </c>
      <c r="C49" t="n">
        <v>0.01</v>
      </c>
      <c r="D49" t="inlineStr">
        <is>
          <t>кг</t>
        </is>
      </c>
      <c r="E49" t="inlineStr"/>
    </row>
    <row r="50">
      <c r="A50" t="inlineStr">
        <is>
          <t>B11</t>
        </is>
      </c>
      <c r="B50" t="inlineStr">
        <is>
          <t>Шпинат п/ф</t>
        </is>
      </c>
      <c r="C50" t="n">
        <v>0.01</v>
      </c>
      <c r="D50" t="inlineStr">
        <is>
          <t>кг</t>
        </is>
      </c>
      <c r="E50" t="inlineStr"/>
    </row>
    <row r="51">
      <c r="A51" t="inlineStr">
        <is>
          <t>B11</t>
        </is>
      </c>
      <c r="B51" t="inlineStr">
        <is>
          <t>Фрисе п/ф</t>
        </is>
      </c>
      <c r="C51" t="n">
        <v>0.01</v>
      </c>
      <c r="D51" t="inlineStr">
        <is>
          <t>кг</t>
        </is>
      </c>
      <c r="E51" t="inlineStr"/>
    </row>
    <row r="52">
      <c r="A52" t="inlineStr">
        <is>
          <t>B11</t>
        </is>
      </c>
      <c r="B52" t="inlineStr">
        <is>
          <t>Масло оливковое</t>
        </is>
      </c>
      <c r="C52" t="n">
        <v>0.01</v>
      </c>
      <c r="D52" t="inlineStr">
        <is>
          <t>кг</t>
        </is>
      </c>
      <c r="E52" t="inlineStr"/>
    </row>
    <row r="53">
      <c r="A53" t="inlineStr">
        <is>
          <t>B12</t>
        </is>
      </c>
      <c r="B53" t="inlineStr">
        <is>
          <t>Руккола п/ф</t>
        </is>
      </c>
      <c r="C53" t="n">
        <v>0.025</v>
      </c>
      <c r="D53" t="inlineStr">
        <is>
          <t>кг</t>
        </is>
      </c>
      <c r="E53" t="inlineStr"/>
    </row>
    <row r="54">
      <c r="A54" t="inlineStr">
        <is>
          <t>B12</t>
        </is>
      </c>
      <c r="B54" t="inlineStr">
        <is>
          <t>Креветки очищенные</t>
        </is>
      </c>
      <c r="C54" t="n">
        <v>0.05</v>
      </c>
      <c r="D54" t="inlineStr">
        <is>
          <t>кг</t>
        </is>
      </c>
      <c r="E54" t="inlineStr"/>
    </row>
    <row r="55">
      <c r="A55" t="inlineStr">
        <is>
          <t>B12</t>
        </is>
      </c>
      <c r="B55" t="inlineStr">
        <is>
          <t>Авокадо</t>
        </is>
      </c>
      <c r="C55" t="n">
        <v>0.025</v>
      </c>
      <c r="D55" t="inlineStr">
        <is>
          <t>кг</t>
        </is>
      </c>
      <c r="E55" t="inlineStr">
        <is>
          <t>В строке PDF также встречается 0,035; распознавание неоднозначно</t>
        </is>
      </c>
    </row>
    <row r="56">
      <c r="A56" t="inlineStr">
        <is>
          <t>B12</t>
        </is>
      </c>
      <c r="B56" t="inlineStr">
        <is>
          <t>Черри</t>
        </is>
      </c>
      <c r="C56" t="n">
        <v>0.04</v>
      </c>
      <c r="D56" t="inlineStr">
        <is>
          <t>кг</t>
        </is>
      </c>
      <c r="E56" t="inlineStr"/>
    </row>
    <row r="57">
      <c r="A57" t="inlineStr">
        <is>
          <t>B12</t>
        </is>
      </c>
      <c r="B57" t="inlineStr">
        <is>
          <t>Масло оливковое</t>
        </is>
      </c>
      <c r="C57" t="n">
        <v>0.01</v>
      </c>
      <c r="D57" t="inlineStr">
        <is>
          <t>кг</t>
        </is>
      </c>
      <c r="E57" t="inlineStr"/>
    </row>
    <row r="58">
      <c r="A58" t="inlineStr">
        <is>
          <t>B12</t>
        </is>
      </c>
      <c r="B58" t="inlineStr">
        <is>
          <t>Сок лимона п/ф</t>
        </is>
      </c>
      <c r="C58" t="n">
        <v>0.005</v>
      </c>
      <c r="D58" t="inlineStr">
        <is>
          <t>кг</t>
        </is>
      </c>
      <c r="E58" t="inlineStr"/>
    </row>
    <row r="59">
      <c r="A59" t="inlineStr">
        <is>
          <t>B12</t>
        </is>
      </c>
      <c r="B59" t="inlineStr">
        <is>
          <t>Соль</t>
        </is>
      </c>
      <c r="C59" t="n">
        <v>0.001</v>
      </c>
      <c r="D59" t="inlineStr">
        <is>
          <t>кг</t>
        </is>
      </c>
      <c r="E59" t="inlineStr"/>
    </row>
    <row r="60">
      <c r="A60" t="inlineStr">
        <is>
          <t>B12</t>
        </is>
      </c>
      <c r="B60" t="inlineStr">
        <is>
          <t>Сахар</t>
        </is>
      </c>
      <c r="C60" t="n">
        <v>0.001</v>
      </c>
      <c r="D60" t="inlineStr">
        <is>
          <t>кг</t>
        </is>
      </c>
      <c r="E60" t="inlineStr"/>
    </row>
    <row r="61">
      <c r="A61" t="inlineStr">
        <is>
          <t>B12</t>
        </is>
      </c>
      <c r="B61" t="inlineStr">
        <is>
          <t>Бальзамический уксус</t>
        </is>
      </c>
      <c r="C61" t="n">
        <v>0.002</v>
      </c>
      <c r="D61" t="inlineStr">
        <is>
          <t>кг</t>
        </is>
      </c>
      <c r="E61" t="inlineStr"/>
    </row>
    <row r="62">
      <c r="A62" t="inlineStr">
        <is>
          <t>B13</t>
        </is>
      </c>
      <c r="B62" t="inlineStr">
        <is>
          <t>Треска п/ф стейк</t>
        </is>
      </c>
      <c r="C62" t="n">
        <v>0.12</v>
      </c>
      <c r="D62" t="inlineStr">
        <is>
          <t>кг</t>
        </is>
      </c>
      <c r="E62" t="inlineStr"/>
    </row>
    <row r="63">
      <c r="A63" t="inlineStr">
        <is>
          <t>B13</t>
        </is>
      </c>
      <c r="B63" t="inlineStr">
        <is>
          <t>Соус Шампань п/ф</t>
        </is>
      </c>
      <c r="C63" t="n">
        <v>0.05</v>
      </c>
      <c r="D63" t="inlineStr">
        <is>
          <t>кг</t>
        </is>
      </c>
      <c r="E63" t="inlineStr"/>
    </row>
    <row r="64">
      <c r="A64" t="inlineStr">
        <is>
          <t>B14</t>
        </is>
      </c>
      <c r="B64" t="inlineStr">
        <is>
          <t>Стриплойн п/ф</t>
        </is>
      </c>
      <c r="C64" t="n">
        <v>0.18</v>
      </c>
      <c r="D64" t="inlineStr">
        <is>
          <t>кг</t>
        </is>
      </c>
      <c r="E64" t="inlineStr"/>
    </row>
    <row r="65">
      <c r="A65" t="inlineStr">
        <is>
          <t>B14</t>
        </is>
      </c>
      <c r="B65" t="inlineStr">
        <is>
          <t>Сливочный демигляс п/ф</t>
        </is>
      </c>
      <c r="C65" t="n">
        <v>0.05</v>
      </c>
      <c r="D65" t="inlineStr">
        <is>
          <t>кг</t>
        </is>
      </c>
      <c r="E65" t="inlineStr"/>
    </row>
    <row r="66">
      <c r="A66" t="inlineStr">
        <is>
          <t>B15</t>
        </is>
      </c>
      <c r="B66" t="inlineStr">
        <is>
          <t>Утиная ножка п/ф</t>
        </is>
      </c>
      <c r="C66" t="n">
        <v>0.18</v>
      </c>
      <c r="D66" t="inlineStr">
        <is>
          <t>кг</t>
        </is>
      </c>
      <c r="E66" t="inlineStr"/>
    </row>
    <row r="67">
      <c r="A67" t="inlineStr">
        <is>
          <t>B15</t>
        </is>
      </c>
      <c r="B67" t="inlineStr">
        <is>
          <t>Ягодный соус п/ф</t>
        </is>
      </c>
      <c r="C67" t="n">
        <v>0.05</v>
      </c>
      <c r="D67" t="inlineStr">
        <is>
          <t>кг</t>
        </is>
      </c>
      <c r="E67" t="inlineStr"/>
    </row>
    <row r="68">
      <c r="A68" t="inlineStr">
        <is>
          <t>B16</t>
        </is>
      </c>
      <c r="B68" t="inlineStr">
        <is>
          <t>Корнишон / цыплёнок</t>
        </is>
      </c>
      <c r="C68" t="n">
        <v>0.25</v>
      </c>
      <c r="D68" t="inlineStr">
        <is>
          <t>кг</t>
        </is>
      </c>
      <c r="E68" t="inlineStr">
        <is>
          <t>В ТТК указано 1 шт = 0,250 кг</t>
        </is>
      </c>
    </row>
    <row r="69">
      <c r="A69" t="inlineStr">
        <is>
          <t>B16</t>
        </is>
      </c>
      <c r="B69" t="inlineStr">
        <is>
          <t>Демигляс с трюфелем п/ф</t>
        </is>
      </c>
      <c r="C69" t="n">
        <v>0.05</v>
      </c>
      <c r="D69" t="inlineStr">
        <is>
          <t>кг</t>
        </is>
      </c>
      <c r="E69" t="inlineStr"/>
    </row>
    <row r="70">
      <c r="A70" t="inlineStr">
        <is>
          <t>B17</t>
        </is>
      </c>
      <c r="B70" t="inlineStr">
        <is>
          <t>Картофель стоун отварной п/ф</t>
        </is>
      </c>
      <c r="C70" t="n">
        <v>0.15</v>
      </c>
      <c r="D70" t="inlineStr">
        <is>
          <t>кг</t>
        </is>
      </c>
      <c r="E70" t="inlineStr"/>
    </row>
    <row r="71">
      <c r="A71" t="inlineStr">
        <is>
          <t>B17</t>
        </is>
      </c>
      <c r="B71" t="inlineStr">
        <is>
          <t>Масло сливочное</t>
        </is>
      </c>
      <c r="C71" t="n">
        <v>0.03</v>
      </c>
      <c r="D71" t="inlineStr">
        <is>
          <t>кг</t>
        </is>
      </c>
      <c r="E71" t="inlineStr"/>
    </row>
    <row r="72">
      <c r="A72" t="inlineStr">
        <is>
          <t>B17</t>
        </is>
      </c>
      <c r="B72" t="inlineStr">
        <is>
          <t>Петрушка рубленая п/ф</t>
        </is>
      </c>
      <c r="C72" t="n">
        <v>0.01</v>
      </c>
      <c r="D72" t="inlineStr">
        <is>
          <t>кг</t>
        </is>
      </c>
      <c r="E72" t="inlineStr"/>
    </row>
    <row r="73">
      <c r="A73" t="inlineStr">
        <is>
          <t>B18</t>
        </is>
      </c>
      <c r="B73" t="inlineStr">
        <is>
          <t>Брокколи зачищенный п/ф</t>
        </is>
      </c>
      <c r="C73" t="n">
        <v>0.03</v>
      </c>
      <c r="D73" t="inlineStr">
        <is>
          <t>кг</t>
        </is>
      </c>
      <c r="E73" t="inlineStr"/>
    </row>
    <row r="74">
      <c r="A74" t="inlineStr">
        <is>
          <t>B18</t>
        </is>
      </c>
      <c r="B74" t="inlineStr">
        <is>
          <t>Цукини свежий</t>
        </is>
      </c>
      <c r="C74" t="n">
        <v>0.03</v>
      </c>
      <c r="D74" t="inlineStr">
        <is>
          <t>кг</t>
        </is>
      </c>
      <c r="E74" t="inlineStr"/>
    </row>
    <row r="75">
      <c r="A75" t="inlineStr">
        <is>
          <t>B18</t>
        </is>
      </c>
      <c r="B75" t="inlineStr">
        <is>
          <t>Перец красный рамиро п/ф</t>
        </is>
      </c>
      <c r="C75" t="n">
        <v>0.03</v>
      </c>
      <c r="D75" t="inlineStr">
        <is>
          <t>кг</t>
        </is>
      </c>
      <c r="E75" t="inlineStr"/>
    </row>
    <row r="76">
      <c r="A76" t="inlineStr">
        <is>
          <t>B18</t>
        </is>
      </c>
      <c r="B76" t="inlineStr">
        <is>
          <t>Перец жёлтый болгарский п/ф</t>
        </is>
      </c>
      <c r="C76" t="n">
        <v>0.015</v>
      </c>
      <c r="D76" t="inlineStr">
        <is>
          <t>кг</t>
        </is>
      </c>
      <c r="E76" t="inlineStr"/>
    </row>
    <row r="77">
      <c r="A77" t="inlineStr">
        <is>
          <t>B18</t>
        </is>
      </c>
      <c r="B77" t="inlineStr">
        <is>
          <t>Масло оливковое</t>
        </is>
      </c>
      <c r="C77" t="n">
        <v>0.005</v>
      </c>
      <c r="D77" t="inlineStr">
        <is>
          <t>кг</t>
        </is>
      </c>
      <c r="E77" t="inlineStr"/>
    </row>
    <row r="78">
      <c r="A78" t="inlineStr">
        <is>
          <t>B18</t>
        </is>
      </c>
      <c r="B78" t="inlineStr">
        <is>
          <t>Масло растительное</t>
        </is>
      </c>
      <c r="C78" t="n">
        <v>0.02</v>
      </c>
      <c r="D78" t="inlineStr">
        <is>
          <t>кг</t>
        </is>
      </c>
      <c r="E78" t="inlineStr"/>
    </row>
  </sheetData>
  <autoFilter ref="A1:E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0" customWidth="1" min="3" max="3"/>
    <col width="20" customWidth="1" min="4" max="4"/>
    <col width="20" customWidth="1" min="5" max="5"/>
  </cols>
  <sheetData>
    <row r="1">
      <c r="A1" s="2" t="inlineStr">
        <is>
          <t>ID</t>
        </is>
      </c>
      <c r="B1" s="2" t="inlineStr">
        <is>
          <t>Позиция</t>
        </is>
      </c>
      <c r="C1" s="2" t="inlineStr">
        <is>
          <t>Гостей</t>
        </is>
      </c>
      <c r="D1" s="2" t="inlineStr">
        <is>
          <t>Выход на порцию, кг</t>
        </is>
      </c>
      <c r="E1" s="2" t="inlineStr">
        <is>
          <t>Общий выход, кг</t>
        </is>
      </c>
    </row>
    <row r="2">
      <c r="A2" t="inlineStr">
        <is>
          <t>B01</t>
        </is>
      </c>
      <c r="B2" t="inlineStr">
        <is>
          <t>Мясные деликатесы</t>
        </is>
      </c>
      <c r="C2" t="n">
        <v>50</v>
      </c>
      <c r="D2" t="n">
        <v>0.04</v>
      </c>
      <c r="E2">
        <f>IF(D2="","",C2*D2)</f>
        <v/>
      </c>
    </row>
    <row r="3">
      <c r="A3" t="inlineStr">
        <is>
          <t>B02</t>
        </is>
      </c>
      <c r="B3" t="inlineStr">
        <is>
          <t>Фермерские сыры</t>
        </is>
      </c>
      <c r="C3" t="n">
        <v>50</v>
      </c>
      <c r="D3" t="n">
        <v>0.03</v>
      </c>
      <c r="E3">
        <f>IF(D3="","",C3*D3)</f>
        <v/>
      </c>
    </row>
    <row r="4">
      <c r="A4" t="inlineStr">
        <is>
          <t>B03</t>
        </is>
      </c>
      <c r="B4" t="inlineStr">
        <is>
          <t>Рыбное плато</t>
        </is>
      </c>
      <c r="C4" t="n">
        <v>50</v>
      </c>
      <c r="D4" t="n">
        <v>0.04</v>
      </c>
      <c r="E4">
        <f>IF(D4="","",C4*D4)</f>
        <v/>
      </c>
    </row>
    <row r="5">
      <c r="A5" t="inlineStr">
        <is>
          <t>B04</t>
        </is>
      </c>
      <c r="B5" t="inlineStr">
        <is>
          <t>Домашние соленья</t>
        </is>
      </c>
      <c r="C5" t="n">
        <v>50</v>
      </c>
      <c r="E5">
        <f>IF(D5="","",C5*D5)</f>
        <v/>
      </c>
    </row>
    <row r="6">
      <c r="A6" t="inlineStr">
        <is>
          <t>B05</t>
        </is>
      </c>
      <c r="B6" t="inlineStr">
        <is>
          <t>Ассорти из свежих овощей</t>
        </is>
      </c>
      <c r="C6" t="n">
        <v>50</v>
      </c>
      <c r="D6" t="n">
        <v>0.1</v>
      </c>
      <c r="E6">
        <f>IF(D6="","",C6*D6)</f>
        <v/>
      </c>
    </row>
    <row r="7">
      <c r="A7" t="inlineStr">
        <is>
          <t>B06</t>
        </is>
      </c>
      <c r="B7" t="inlineStr">
        <is>
          <t>Мини-брускетта с риетом из лосося</t>
        </is>
      </c>
      <c r="C7" t="n">
        <v>50</v>
      </c>
      <c r="D7" t="n">
        <v>0.05</v>
      </c>
      <c r="E7">
        <f>IF(D7="","",C7*D7)</f>
        <v/>
      </c>
    </row>
    <row r="8">
      <c r="A8" t="inlineStr">
        <is>
          <t>B07</t>
        </is>
      </c>
      <c r="B8" t="inlineStr">
        <is>
          <t>Мини-брускетта с паштетом и карамелизированным луком</t>
        </is>
      </c>
      <c r="C8" t="n">
        <v>50</v>
      </c>
      <c r="D8" t="n">
        <v>0.05</v>
      </c>
      <c r="E8">
        <f>IF(D8="","",C8*D8)</f>
        <v/>
      </c>
    </row>
    <row r="9">
      <c r="A9" t="inlineStr">
        <is>
          <t>B08</t>
        </is>
      </c>
      <c r="B9" t="inlineStr">
        <is>
          <t>Киш с лососем</t>
        </is>
      </c>
      <c r="C9" t="n">
        <v>50</v>
      </c>
      <c r="D9" t="n">
        <v>0.12</v>
      </c>
      <c r="E9">
        <f>IF(D9="","",C9*D9)</f>
        <v/>
      </c>
    </row>
    <row r="10">
      <c r="A10" t="inlineStr">
        <is>
          <t>B09</t>
        </is>
      </c>
      <c r="B10" t="inlineStr">
        <is>
          <t>Киш с курицей и грибами</t>
        </is>
      </c>
      <c r="C10" t="n">
        <v>50</v>
      </c>
      <c r="D10" t="n">
        <v>0.15</v>
      </c>
      <c r="E10">
        <f>IF(D10="","",C10*D10)</f>
        <v/>
      </c>
    </row>
    <row r="11">
      <c r="A11" t="inlineStr">
        <is>
          <t>B10</t>
        </is>
      </c>
      <c r="B11" t="inlineStr">
        <is>
          <t>Цезарь с ферментированным желтком</t>
        </is>
      </c>
      <c r="C11" t="n">
        <v>50</v>
      </c>
      <c r="D11" t="n">
        <v>0.145</v>
      </c>
      <c r="E11">
        <f>IF(D11="","",C11*D11)</f>
        <v/>
      </c>
    </row>
    <row r="12">
      <c r="A12" t="inlineStr">
        <is>
          <t>B11</t>
        </is>
      </c>
      <c r="B12" t="inlineStr">
        <is>
          <t>Салат с языком и грибами</t>
        </is>
      </c>
      <c r="C12" t="n">
        <v>50</v>
      </c>
      <c r="D12" t="n">
        <v>0.17</v>
      </c>
      <c r="E12">
        <f>IF(D12="","",C12*D12)</f>
        <v/>
      </c>
    </row>
    <row r="13">
      <c r="A13" t="inlineStr">
        <is>
          <t>B12</t>
        </is>
      </c>
      <c r="B13" t="inlineStr">
        <is>
          <t>Салат с рукколой, креветкой и авокадо</t>
        </is>
      </c>
      <c r="C13" t="n">
        <v>50</v>
      </c>
      <c r="D13" t="n">
        <v>0.15</v>
      </c>
      <c r="E13">
        <f>IF(D13="","",C13*D13)</f>
        <v/>
      </c>
    </row>
    <row r="14">
      <c r="A14" t="inlineStr">
        <is>
          <t>B13</t>
        </is>
      </c>
      <c r="B14" t="inlineStr">
        <is>
          <t>Спинка трески в сливочном соусе Шампань</t>
        </is>
      </c>
      <c r="C14" t="n">
        <v>50</v>
      </c>
      <c r="D14" t="n">
        <v>0.17</v>
      </c>
      <c r="E14">
        <f>IF(D14="","",C14*D14)</f>
        <v/>
      </c>
    </row>
    <row r="15">
      <c r="A15" t="inlineStr">
        <is>
          <t>B14</t>
        </is>
      </c>
      <c r="B15" t="inlineStr">
        <is>
          <t>Стриплойн</t>
        </is>
      </c>
      <c r="C15" t="n">
        <v>50</v>
      </c>
      <c r="D15" t="n">
        <v>0.18</v>
      </c>
      <c r="E15">
        <f>IF(D15="","",C15*D15)</f>
        <v/>
      </c>
    </row>
    <row r="16">
      <c r="A16" t="inlineStr">
        <is>
          <t>B15</t>
        </is>
      </c>
      <c r="B16" t="inlineStr">
        <is>
          <t>Утиная ножка конфи</t>
        </is>
      </c>
      <c r="C16" t="n">
        <v>50</v>
      </c>
      <c r="D16" t="n">
        <v>0.23</v>
      </c>
      <c r="E16">
        <f>IF(D16="","",C16*D16)</f>
        <v/>
      </c>
    </row>
    <row r="17">
      <c r="A17" t="inlineStr">
        <is>
          <t>B16</t>
        </is>
      </c>
      <c r="B17" t="inlineStr">
        <is>
          <t>Корнишон на гриле</t>
        </is>
      </c>
      <c r="C17" t="n">
        <v>50</v>
      </c>
      <c r="D17" t="n">
        <v>0.34</v>
      </c>
      <c r="E17">
        <f>IF(D17="","",C17*D17)</f>
        <v/>
      </c>
    </row>
    <row r="18">
      <c r="A18" t="inlineStr">
        <is>
          <t>B17</t>
        </is>
      </c>
      <c r="B18" t="inlineStr">
        <is>
          <t>Молодой картофель со сливочным маслом и петрушкой</t>
        </is>
      </c>
      <c r="C18" t="n">
        <v>50</v>
      </c>
      <c r="D18" t="n">
        <v>0.18</v>
      </c>
      <c r="E18">
        <f>IF(D18="","",C18*D18)</f>
        <v/>
      </c>
    </row>
    <row r="19">
      <c r="A19" t="inlineStr">
        <is>
          <t>B18</t>
        </is>
      </c>
      <c r="B19" t="inlineStr">
        <is>
          <t>Овощи гриль</t>
        </is>
      </c>
      <c r="C19" t="n">
        <v>50</v>
      </c>
      <c r="D19" t="n">
        <v>0.1</v>
      </c>
      <c r="E19">
        <f>IF(D19="","",C19*D19)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Правило</t>
        </is>
      </c>
      <c r="B1" s="2" t="inlineStr">
        <is>
          <t>Значение</t>
        </is>
      </c>
    </row>
    <row r="2">
      <c r="A2" t="inlineStr">
        <is>
          <t>Источник</t>
        </is>
      </c>
      <c r="B2" t="inlineStr">
        <is>
          <t>Меню горка все .pdf, банкетный блок на последней странице</t>
        </is>
      </c>
    </row>
    <row r="3">
      <c r="A3" t="inlineStr">
        <is>
          <t>Расчёт</t>
        </is>
      </c>
      <c r="B3" t="inlineStr">
        <is>
          <t>Количество ингредиента = норма на 1 порцию × количество порций</t>
        </is>
      </c>
    </row>
    <row r="4">
      <c r="A4" t="inlineStr">
        <is>
          <t>Единица хранения</t>
        </is>
      </c>
      <c r="B4" t="inlineStr">
        <is>
          <t>Для массы использовать кг; при отображении пользователю можно переводить в г</t>
        </is>
      </c>
    </row>
    <row r="5">
      <c r="A5" t="inlineStr">
        <is>
          <t>Не заполнять догадками</t>
        </is>
      </c>
      <c r="B5" t="inlineStr">
        <is>
          <t>Если ТТК не содержит подтверждённой нормы, поле оставлять пустым и помечать «требует уточнения»</t>
        </is>
      </c>
    </row>
    <row r="6">
      <c r="A6" t="inlineStr">
        <is>
          <t>Позиции с неоднозначным OCR</t>
        </is>
      </c>
      <c r="B6" t="inlineStr">
        <is>
          <t>Проверить по оригиналу перед вводом в производственный расчёт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2026-08-18T15:55:17Z</dcterms:created>
  <dcterms:modified xmlns:dcterms="http://purl.org/dc/terms/" xmlns:xsi="http://www.w3.org/2001/XMLSchema-instance" xsi:type="dcterms:W3CDTF">2026-08-18T15:55:17Z</dcterms:modified>
</cp:coreProperties>
</file>